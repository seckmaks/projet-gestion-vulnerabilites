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d tech\Downloads\"/>
    </mc:Choice>
  </mc:AlternateContent>
  <bookViews>
    <workbookView xWindow="0" yWindow="0" windowWidth="19200" windowHeight="7190"/>
  </bookViews>
  <sheets>
    <sheet name="KPI" sheetId="1" r:id="rId1"/>
    <sheet name="Historique des relevés" sheetId="2" r:id="rId2"/>
  </sheets>
  <calcPr calcId="0"/>
</workbook>
</file>

<file path=xl/sharedStrings.xml><?xml version="1.0" encoding="utf-8"?>
<sst xmlns="http://schemas.openxmlformats.org/spreadsheetml/2006/main" count="85" uniqueCount="75">
  <si>
    <t>VMS — TABLEAU DE BORD KPI (Livrable 5, Obj. 6) — relevé du 21/10/2026</t>
  </si>
  <si>
    <t>Indicateur</t>
  </si>
  <si>
    <t>Formule / source</t>
  </si>
  <si>
    <t>Valeur relevée</t>
  </si>
  <si>
    <t>Cible / seuil</t>
  </si>
  <si>
    <t>1. Couverture</t>
  </si>
  <si>
    <t>actifs scannés / inventaire P0</t>
  </si>
  <si>
    <t>6 / 6 — 100 %</t>
  </si>
  <si>
    <t>100 % des actifs vitaux</t>
  </si>
  <si>
    <t>2. Critiques VLAN 30 (campus)</t>
  </si>
  <si>
    <t>rapports GCE + matrice RBVM (L3)</t>
  </si>
  <si>
    <t>MS17-010, SMB RCE, BlueKeep : corrigés ET clôturés le 22/10 (re-scans « Clôturer les anciennes » — Criticals barrés, SLA rouges disparus)</t>
  </si>
  <si>
    <t>0</t>
  </si>
  <si>
    <t>3. Critiques cloud (10.9.1.10)</t>
  </si>
  <si>
    <t>rapport Full authentifié</t>
  </si>
  <si>
    <t>0 — confirmé par le Full du 21/10 (0/0/8/3)</t>
  </si>
  <si>
    <t>4. MTTR / MTTM</t>
  </si>
  <si>
    <t>(date de clôture − 1re détection) — DefectDojo</t>
  </si>
  <si>
    <t>14 j (sudo : détecté 02/10, fermé 16/10)</t>
  </si>
  <si>
    <t>Critique ≤ 30 j · High ≤ 60 j</t>
  </si>
  <si>
    <t>5. Tendance critiques/scan</t>
  </si>
  <si>
    <t>cycles L1 → L2 → APRÈS → suivi</t>
  </si>
  <si>
    <t>3C/1H → 9C/3H → 0C/0H → 0C/1H → 0C/0H (clôtures du 22/10)</t>
  </si>
  <si>
    <t>décroissante</t>
  </si>
  <si>
    <t>6. Âge moyen des constats ouverts</t>
  </si>
  <si>
    <t>DefectDojo (1re détection − aujourd’hui)</t>
  </si>
  <si>
    <t>15-16 j (moyenne ≈ 15) — dédup conserve la 1re détection</t>
  </si>
  <si>
    <t>critique &gt; 30 j = alerte</t>
  </si>
  <si>
    <t>7. Taux de remédiation automatisée</t>
  </si>
  <si>
    <t>correctifs par playbook / total</t>
  </si>
  <si>
    <t>Camera : 100 % Ansible · sudo : manuel</t>
  </si>
  <si>
    <t>≥ 50 % à terme</t>
  </si>
  <si>
    <t>8. Taux de remédiation (bilan L6)</t>
  </si>
  <si>
    <t>constats fermés / ouverts actifs</t>
  </si>
  <si>
    <t>≈ 1,05 — 20 fermés / ≈19 actifs (vague de clôture 22/10)</t>
  </si>
  <si>
    <t>&gt; 1, croissant</t>
  </si>
  <si>
    <t>9. Taux de régression</t>
  </si>
  <si>
    <t>constats « Re-opened » / fermés</t>
  </si>
  <si>
    <t>0 % — aucun Re-opened (non-régression prouvée)</t>
  </si>
  <si>
    <t>≈ 0 %</t>
  </si>
  <si>
    <t>HISTORIQUE — une ligne par scan (matière première des KPI)</t>
  </si>
  <si>
    <t>Date</t>
  </si>
  <si>
    <t>Cycle / tâche</t>
  </si>
  <si>
    <t>Cible</t>
  </si>
  <si>
    <t>Critiques</t>
  </si>
  <si>
    <t>High</t>
  </si>
  <si>
    <t>Medium</t>
  </si>
  <si>
    <t>Low</t>
  </si>
  <si>
    <t>05/10/2026</t>
  </si>
  <si>
    <t>L1 — découverte réseau</t>
  </si>
  <si>
    <t>campus 30/31</t>
  </si>
  <si>
    <t>13/10/2026</t>
  </si>
  <si>
    <t>L2 — authentifié</t>
  </si>
  <si>
    <t>campus + cloud</t>
  </si>
  <si>
    <t>16/10/2026</t>
  </si>
  <si>
    <t>APRÈS remédiation</t>
  </si>
  <si>
    <t>10.9.1.10</t>
  </si>
  <si>
    <t>21/10/2026</t>
  </si>
  <si>
    <t>CAMPUS-W10</t>
  </si>
  <si>
    <t>.30.10 + .31.11</t>
  </si>
  <si>
    <t>CAMPUS-TC1</t>
  </si>
  <si>
    <t>.30.50</t>
  </si>
  <si>
    <t>CAMPUS-TC2</t>
  </si>
  <si>
    <t>.31.10</t>
  </si>
  <si>
    <t>CAMPUS-CAM</t>
  </si>
  <si>
    <t>.30.11</t>
  </si>
  <si>
    <t>CLOUD-FULL</t>
  </si>
  <si>
    <t>TOTAL cycle 1 (planifié)</t>
  </si>
  <si>
    <t>6 hôtes</t>
  </si>
  <si>
    <t>22/10/2026</t>
  </si>
  <si>
    <t>Re-scans clôture (Win-7/Win-10)</t>
  </si>
  <si>
    <t>Clôture automatique (Close old findings)</t>
  </si>
  <si>
    <t>DD — 20 constats fermés</t>
  </si>
  <si>
    <t>BILAN FINAL L6</t>
  </si>
  <si>
    <t>fermés 20 / actifs ≈19 → taux ≈ 1,05 · régression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</si>
</sst>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rgb="FF1E3A5F"/>
      <name val="Calibri"/>
    </font>
    <font>
      <b/>
      <sz val="11"/>
      <color rgb="FFFFFFFF"/>
      <name val="Calibri"/>
    </font>
    <font>
      <b/>
      <sz val="12"/>
      <color rgb="FF1E3A5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Tendance Critiques/High par cycle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'Historique des relevés'!$D$2</c:f>
              <c:strCache>
                <c:ptCount val="1"/>
                <c:pt idx="0">
                  <c:v>Critiques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'Historique des relevés'!$A$3:$A$7</c:f>
              <c:strCache>
                <c:ptCount val="5"/>
                <c:pt idx="0">
                  <c:v>05/10/2026</c:v>
                </c:pt>
                <c:pt idx="1">
                  <c:v>13/10/2026</c:v>
                </c:pt>
                <c:pt idx="2">
                  <c:v>16/10/2026</c:v>
                </c:pt>
                <c:pt idx="3">
                  <c:v>21/10/2026</c:v>
                </c:pt>
                <c:pt idx="4">
                  <c:v>21/10/2026</c:v>
                </c:pt>
              </c:strCache>
            </c:strRef>
          </c:cat>
          <c:val>
            <c:numRef>
              <c:f>'Historique des relevés'!$D$3:$D$7</c:f>
              <c:numCache>
                <c:formatCode>General</c:formatCode>
                <c:ptCount val="5"/>
                <c:pt idx="0">
                  <c:v>3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'Historique des relevés'!$E$2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'Historique des relevés'!$A$3:$A$7</c:f>
              <c:strCache>
                <c:ptCount val="5"/>
                <c:pt idx="0">
                  <c:v>05/10/2026</c:v>
                </c:pt>
                <c:pt idx="1">
                  <c:v>13/10/2026</c:v>
                </c:pt>
                <c:pt idx="2">
                  <c:v>16/10/2026</c:v>
                </c:pt>
                <c:pt idx="3">
                  <c:v>21/10/2026</c:v>
                </c:pt>
                <c:pt idx="4">
                  <c:v>21/10/2026</c:v>
                </c:pt>
              </c:strCache>
            </c:strRef>
          </c:cat>
          <c:val>
            <c:numRef>
              <c:f>'Historique des relevés'!$E$3:$E$7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28488"/>
        <c:axId val="338625744"/>
      </c:barChart>
      <c:catAx>
        <c:axId val="338628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8625744"/>
        <c:crosses val="autoZero"/>
        <c:auto val="1"/>
        <c:lblAlgn val="ctr"/>
        <c:lblOffset val="100"/>
        <c:noMultiLvlLbl val="1"/>
      </c:catAx>
      <c:valAx>
        <c:axId val="33862574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Nb de constats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338628488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32" customWidth="1"/>
    <col min="2" max="2" width="38" customWidth="1"/>
    <col min="3" max="3" width="46" customWidth="1"/>
    <col min="4" max="4" width="26" customWidth="1"/>
  </cols>
  <sheetData>
    <row r="1" spans="1:4" ht="17" x14ac:dyDescent="0.4">
      <c r="A1" s="9" t="s">
        <v>0</v>
      </c>
      <c r="B1" s="9"/>
      <c r="C1" s="9"/>
      <c r="D1" s="9"/>
    </row>
    <row r="3" spans="1:4" x14ac:dyDescent="0.35">
      <c r="A3" s="8" t="s">
        <v>1</v>
      </c>
      <c r="B3" s="8" t="s">
        <v>2</v>
      </c>
      <c r="C3" s="8" t="s">
        <v>3</v>
      </c>
      <c r="D3" s="8" t="s">
        <v>4</v>
      </c>
    </row>
    <row r="4" spans="1:4" x14ac:dyDescent="0.35">
      <c r="A4" s="6" t="s">
        <v>5</v>
      </c>
      <c r="B4" s="6" t="s">
        <v>6</v>
      </c>
      <c r="C4" s="6" t="s">
        <v>7</v>
      </c>
      <c r="D4" s="6" t="s">
        <v>8</v>
      </c>
    </row>
    <row r="5" spans="1:4" ht="43.5" x14ac:dyDescent="0.35">
      <c r="A5" s="7" t="s">
        <v>9</v>
      </c>
      <c r="B5" s="7" t="s">
        <v>10</v>
      </c>
      <c r="C5" s="7" t="s">
        <v>11</v>
      </c>
      <c r="D5" s="7" t="s">
        <v>12</v>
      </c>
    </row>
    <row r="6" spans="1:4" x14ac:dyDescent="0.35">
      <c r="A6" s="6" t="s">
        <v>13</v>
      </c>
      <c r="B6" s="6" t="s">
        <v>14</v>
      </c>
      <c r="C6" s="6" t="s">
        <v>15</v>
      </c>
      <c r="D6" s="6" t="s">
        <v>12</v>
      </c>
    </row>
    <row r="7" spans="1:4" ht="29" x14ac:dyDescent="0.35">
      <c r="A7" s="7" t="s">
        <v>16</v>
      </c>
      <c r="B7" s="7" t="s">
        <v>17</v>
      </c>
      <c r="C7" s="7" t="s">
        <v>18</v>
      </c>
      <c r="D7" s="7" t="s">
        <v>19</v>
      </c>
    </row>
    <row r="8" spans="1:4" ht="29" x14ac:dyDescent="0.35">
      <c r="A8" s="6" t="s">
        <v>20</v>
      </c>
      <c r="B8" s="6" t="s">
        <v>21</v>
      </c>
      <c r="C8" s="6" t="s">
        <v>22</v>
      </c>
      <c r="D8" s="6" t="s">
        <v>23</v>
      </c>
    </row>
    <row r="9" spans="1:4" ht="29" x14ac:dyDescent="0.35">
      <c r="A9" s="7" t="s">
        <v>24</v>
      </c>
      <c r="B9" s="7" t="s">
        <v>25</v>
      </c>
      <c r="C9" s="7" t="s">
        <v>26</v>
      </c>
      <c r="D9" s="7" t="s">
        <v>27</v>
      </c>
    </row>
    <row r="10" spans="1:4" x14ac:dyDescent="0.35">
      <c r="A10" s="6" t="s">
        <v>28</v>
      </c>
      <c r="B10" s="6" t="s">
        <v>29</v>
      </c>
      <c r="C10" s="6" t="s">
        <v>30</v>
      </c>
      <c r="D10" s="6" t="s">
        <v>31</v>
      </c>
    </row>
    <row r="11" spans="1:4" ht="29" x14ac:dyDescent="0.35">
      <c r="A11" s="7" t="s">
        <v>32</v>
      </c>
      <c r="B11" s="7" t="s">
        <v>33</v>
      </c>
      <c r="C11" s="7" t="s">
        <v>34</v>
      </c>
      <c r="D11" s="7" t="s">
        <v>35</v>
      </c>
    </row>
    <row r="12" spans="1:4" x14ac:dyDescent="0.35">
      <c r="A12" s="6" t="s">
        <v>36</v>
      </c>
      <c r="B12" s="6" t="s">
        <v>37</v>
      </c>
      <c r="C12" s="6" t="s">
        <v>38</v>
      </c>
      <c r="D12" s="6" t="s">
        <v>39</v>
      </c>
    </row>
  </sheetData>
  <mergeCells count="1">
    <mergeCell ref="A1:D1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baseColWidth="10" defaultColWidth="8.7265625" defaultRowHeight="14.5" x14ac:dyDescent="0.35"/>
  <cols>
    <col min="1" max="1" width="12" customWidth="1"/>
    <col min="2" max="2" width="30" customWidth="1"/>
    <col min="3" max="3" width="18" customWidth="1"/>
    <col min="4" max="4" width="10" customWidth="1"/>
    <col min="5" max="5" width="8" customWidth="1"/>
    <col min="6" max="6" width="10" customWidth="1"/>
    <col min="7" max="7" width="8" customWidth="1"/>
  </cols>
  <sheetData>
    <row r="1" spans="1:7" ht="15.5" x14ac:dyDescent="0.35">
      <c r="A1" s="2" t="s">
        <v>40</v>
      </c>
    </row>
    <row r="2" spans="1:7" x14ac:dyDescent="0.3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</row>
    <row r="3" spans="1:7" x14ac:dyDescent="0.35">
      <c r="A3" t="s">
        <v>48</v>
      </c>
      <c r="B3" t="s">
        <v>49</v>
      </c>
      <c r="C3" t="s">
        <v>50</v>
      </c>
      <c r="D3" s="3">
        <v>3</v>
      </c>
      <c r="E3" s="3">
        <v>1</v>
      </c>
    </row>
    <row r="4" spans="1:7" x14ac:dyDescent="0.35">
      <c r="A4" t="s">
        <v>51</v>
      </c>
      <c r="B4" t="s">
        <v>52</v>
      </c>
      <c r="C4" t="s">
        <v>53</v>
      </c>
      <c r="D4" s="3">
        <v>9</v>
      </c>
      <c r="E4" s="3">
        <v>3</v>
      </c>
    </row>
    <row r="5" spans="1:7" x14ac:dyDescent="0.35">
      <c r="A5" t="s">
        <v>54</v>
      </c>
      <c r="B5" t="s">
        <v>55</v>
      </c>
      <c r="C5" t="s">
        <v>56</v>
      </c>
      <c r="D5" s="3">
        <v>0</v>
      </c>
      <c r="E5" s="3">
        <v>0</v>
      </c>
      <c r="F5" s="3">
        <v>8</v>
      </c>
      <c r="G5" s="3">
        <v>3</v>
      </c>
    </row>
    <row r="6" spans="1:7" x14ac:dyDescent="0.35">
      <c r="A6" t="s">
        <v>57</v>
      </c>
      <c r="B6" t="s">
        <v>58</v>
      </c>
      <c r="C6" t="s">
        <v>59</v>
      </c>
      <c r="D6" s="3">
        <v>0</v>
      </c>
      <c r="E6" s="3">
        <v>0</v>
      </c>
      <c r="F6" s="3">
        <v>4</v>
      </c>
      <c r="G6" s="3">
        <v>2</v>
      </c>
    </row>
    <row r="7" spans="1:7" x14ac:dyDescent="0.35">
      <c r="A7" t="s">
        <v>57</v>
      </c>
      <c r="B7" t="s">
        <v>60</v>
      </c>
      <c r="C7" t="s">
        <v>61</v>
      </c>
      <c r="D7" s="3">
        <v>0</v>
      </c>
      <c r="E7" s="3">
        <v>0</v>
      </c>
      <c r="F7" s="3">
        <v>1</v>
      </c>
      <c r="G7" s="3">
        <v>2</v>
      </c>
    </row>
    <row r="8" spans="1:7" x14ac:dyDescent="0.35">
      <c r="A8" t="s">
        <v>57</v>
      </c>
      <c r="B8" t="s">
        <v>62</v>
      </c>
      <c r="C8" t="s">
        <v>63</v>
      </c>
      <c r="D8" s="3">
        <v>0</v>
      </c>
      <c r="E8" s="3">
        <v>0</v>
      </c>
      <c r="F8" s="3">
        <v>0</v>
      </c>
      <c r="G8" s="3">
        <v>2</v>
      </c>
    </row>
    <row r="9" spans="1:7" x14ac:dyDescent="0.35">
      <c r="A9" t="s">
        <v>57</v>
      </c>
      <c r="B9" t="s">
        <v>64</v>
      </c>
      <c r="C9" t="s">
        <v>65</v>
      </c>
      <c r="D9" s="3">
        <v>0</v>
      </c>
      <c r="E9" s="3">
        <v>1</v>
      </c>
      <c r="F9" s="3">
        <v>8</v>
      </c>
      <c r="G9" s="3">
        <v>4</v>
      </c>
    </row>
    <row r="10" spans="1:7" x14ac:dyDescent="0.35">
      <c r="A10" t="s">
        <v>57</v>
      </c>
      <c r="B10" t="s">
        <v>66</v>
      </c>
      <c r="C10" t="s">
        <v>56</v>
      </c>
      <c r="D10" s="3">
        <v>0</v>
      </c>
      <c r="E10" s="3">
        <v>0</v>
      </c>
      <c r="F10" s="3">
        <v>8</v>
      </c>
      <c r="G10" s="3">
        <v>3</v>
      </c>
    </row>
    <row r="11" spans="1:7" x14ac:dyDescent="0.35">
      <c r="A11" s="4" t="s">
        <v>57</v>
      </c>
      <c r="B11" s="4" t="s">
        <v>67</v>
      </c>
      <c r="C11" s="4" t="s">
        <v>68</v>
      </c>
      <c r="D11" s="5">
        <v>0</v>
      </c>
      <c r="E11" s="5">
        <v>1</v>
      </c>
      <c r="F11" s="5">
        <v>21</v>
      </c>
      <c r="G11" s="5">
        <v>13</v>
      </c>
    </row>
    <row r="12" spans="1:7" x14ac:dyDescent="0.35">
      <c r="A12" t="s">
        <v>69</v>
      </c>
      <c r="B12" t="s">
        <v>70</v>
      </c>
      <c r="C12" t="s">
        <v>50</v>
      </c>
      <c r="D12">
        <v>0</v>
      </c>
      <c r="E12">
        <v>0</v>
      </c>
    </row>
    <row r="13" spans="1:7" x14ac:dyDescent="0.35">
      <c r="A13" t="s">
        <v>69</v>
      </c>
      <c r="B13" t="s">
        <v>71</v>
      </c>
      <c r="C13" t="s">
        <v>72</v>
      </c>
    </row>
    <row r="14" spans="1:7" x14ac:dyDescent="0.35">
      <c r="A14" s="4" t="s">
        <v>69</v>
      </c>
      <c r="B14" s="4" t="s">
        <v>73</v>
      </c>
      <c r="C14" s="4" t="s">
        <v>74</v>
      </c>
      <c r="D14" s="4"/>
      <c r="E14" s="4"/>
      <c r="F14" s="4"/>
      <c r="G14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KPI</vt:lpstr>
      <vt:lpstr>Historique des relevés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bmd tech</cp:lastModifiedBy>
  <dcterms:created xsi:type="dcterms:W3CDTF">2026-10-22T00:46:28Z</dcterms:created>
  <dcterms:modified xsi:type="dcterms:W3CDTF">2026-10-23T17:49:50Z</dcterms:modified>
</cp:coreProperties>
</file>